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1" windowWidth="24940" windowHeight="11630"/>
  </bookViews>
  <sheets>
    <sheet name="Firmen" sheetId="1" r:id="rId1"/>
    <sheet name="Kontakte" sheetId="2" r:id="rId2"/>
    <sheet name="Interessenten" sheetId="3" r:id="rId3"/>
    <sheet name="Werte" sheetId="4" r:id="rId4"/>
  </sheets>
  <definedNames>
    <definedName name="_xlnm.Sheet_Title" localSheetId="0">"Firmen"</definedName>
    <definedName name="_xlnm.Print_Area" localSheetId="0">#"#REF!"</definedName>
    <definedName name="B" localSheetId="0">#NAME?</definedName>
    <definedName name="_xlnm.Sheet_Title" localSheetId="1">"Kontakte"</definedName>
    <definedName name="_xlnm.Print_Area" localSheetId="1">#"#REF!"</definedName>
    <definedName name="_xlnm.Sheet_Title" localSheetId="2">"Interessenten"</definedName>
    <definedName name="_xlnm.Print_Area" localSheetId="2">#"#REF!"</definedName>
    <definedName name="_xlnm.Sheet_Title" localSheetId="3">"Werte"</definedName>
    <definedName name="_xlnm.Print_Area" localSheetId="3">#"#REF!"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<sst xmlns="http://schemas.openxmlformats.org/spreadsheetml/2006/main" uniqueCount="39" count="39">
  <si>
    <t>status</t>
  </si>
  <si>
    <t>myAccountId</t>
  </si>
  <si>
    <t>name</t>
  </si>
  <si>
    <t>webseite</t>
  </si>
  <si>
    <t>email</t>
  </si>
  <si>
    <t>telefonnummer</t>
  </si>
  <si>
    <t>typ der telefonnummer</t>
  </si>
  <si>
    <t>strasse</t>
  </si>
  <si>
    <t>plz</t>
  </si>
  <si>
    <t>ort</t>
  </si>
  <si>
    <t>land</t>
  </si>
  <si>
    <t>industrie</t>
  </si>
  <si>
    <t>beschreibung</t>
  </si>
  <si>
    <t>Josef Obermeier GmbH</t>
  </si>
  <si>
    <t>Kunde</t>
  </si>
  <si>
    <t>Handy</t>
  </si>
  <si>
    <t>Am Dorfplatz 6</t>
  </si>
  <si>
    <t>Ingelbach</t>
  </si>
  <si>
    <t>Deutschland</t>
  </si>
  <si>
    <t>Software</t>
  </si>
  <si>
    <t>Weiterverkaeufer</t>
  </si>
  <si>
    <t>Buero</t>
  </si>
  <si>
    <t>München</t>
  </si>
  <si>
    <t>Produktion</t>
  </si>
  <si>
    <t>Max Helbig AG</t>
  </si>
  <si>
    <t>Wasserstrasse 71</t>
  </si>
  <si>
    <t>Construction</t>
  </si>
  <si>
    <t>eof</t>
  </si>
  <si>
    <t>anrede</t>
  </si>
  <si>
    <t>Vorname</t>
  </si>
  <si>
    <t>Nachname</t>
  </si>
  <si>
    <t>Herr</t>
  </si>
  <si>
    <t>Jürgen</t>
  </si>
  <si>
    <t>+491702934959</t>
  </si>
  <si>
    <t>Office</t>
  </si>
  <si>
    <t>Mobile</t>
  </si>
  <si>
    <t>Fax</t>
  </si>
  <si>
    <t>Other</t>
  </si>
  <si>
    <t>Sonstige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</si>
</sst>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0"/>
      <i val="0"/>
      <u val="single"/>
      <color rgb="FF0563C1"/>
      <name val="Calibri"/>
      <vertAlign val="baseline"/>
      <sz val="11"/>
      <strike val="0"/>
    </font>
    <font>
      <b val="0"/>
      <i val="0"/>
      <u val="single"/>
      <color rgb="FF0563C1"/>
      <name val="Sans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FBE3D5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6" Type="http://schemas.openxmlformats.org/officeDocument/2006/relationships/styles" Target="styles.xml"/>
  <Relationship Id="rId5" Type="http://schemas.openxmlformats.org/officeDocument/2006/relationships/sharedStrings" Target="sharedStrings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6" Type="http://schemas.openxmlformats.org/officeDocument/2006/relationships/hyperlink" Target="mailto:info@helbig.com" TargetMode="External"/>
  <Relationship Id="rId5" Type="http://schemas.openxmlformats.org/officeDocument/2006/relationships/hyperlink" Target="http://www.helbig.com/" TargetMode="External"/>
  <Relationship Id="rId4" Type="http://schemas.openxmlformats.org/officeDocument/2006/relationships/hyperlink" Target="mailto:info@winter.de" TargetMode="External"/>
  <Relationship Id="rId3" Type="http://schemas.openxmlformats.org/officeDocument/2006/relationships/hyperlink" Target="http://www.winter.de/" TargetMode="External"/>
  <Relationship Id="rId2" Type="http://schemas.openxmlformats.org/officeDocument/2006/relationships/hyperlink" Target="mailto:gf@josef-oebermeier.de" TargetMode="External"/>
  <Relationship Id="rId1" Type="http://schemas.openxmlformats.org/officeDocument/2006/relationships/hyperlink" Target="http://www.josef-oebermeier.de/" TargetMode="External"/>
</Relationships>

</file>

<file path=xl/worksheets/_rels/sheet2.xml.rels><?xml version="1.0" encoding="UTF-8"?>
<Relationships xmlns="http://schemas.openxmlformats.org/package/2006/relationships">
  <Relationship Id="rId2" Type="http://schemas.openxmlformats.org/officeDocument/2006/relationships/hyperlink" Target="mailto:ws@helbig.com" TargetMode="External"/>
  <Relationship Id="rId1" Type="http://schemas.openxmlformats.org/officeDocument/2006/relationships/hyperlink" Target="mailto:jm@josef-oebermeier.de" TargetMode="External"/>
</Relationships>

</file>

<file path=xl/worksheets/_rels/sheet3.xml.rels><?xml version="1.0" encoding="UTF-8"?>
<Relationships xmlns="http://schemas.openxmlformats.org/package/2006/relationships">
  <Relationship Id="rId2" Type="http://schemas.openxmlformats.org/officeDocument/2006/relationships/hyperlink" Target="mailto:jb@malz.de" TargetMode="External"/>
  <Relationship Id="rId1" Type="http://schemas.openxmlformats.org/officeDocument/2006/relationships/hyperlink" Target="http://www.malz.de/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5"/>
  <sheetViews>
    <sheetView workbookViewId="0">
      <selection activeCell="E43" sqref="E43"/>
    </sheetView>
  </sheetViews>
  <sheetFormatPr defaultColWidth="12.81640625" defaultRowHeight="14.5"/>
  <cols>
    <col min="1" max="2" style="1" width="12.816406249999998" bestFit="1" customWidth="1"/>
    <col min="3" max="3" style="1" width="20.26953125" bestFit="1" customWidth="1"/>
    <col min="4" max="4" style="1" width="14.453125000000002" bestFit="1" customWidth="1"/>
    <col min="5" max="5" style="1" width="22.81640625" bestFit="1" customWidth="1"/>
    <col min="6" max="6" style="1" width="21.453125" bestFit="1" customWidth="1"/>
    <col min="7" max="7" style="2" width="13.81640625" bestFit="1" customWidth="1"/>
    <col min="8" max="8" style="1" width="20.453125" bestFit="1" customWidth="1"/>
    <col min="9" max="9" style="1" width="16.1796875" bestFit="1" customWidth="1"/>
    <col min="10" max="10" style="2" width="5.81640625" bestFit="1" customWidth="1"/>
    <col min="11" max="11" style="1" width="8.81640625" bestFit="1" customWidth="1"/>
    <col min="12" max="12" style="1" width="11.1796875" bestFit="1" customWidth="1"/>
    <col min="13" max="13" style="1" width="6.54296875" bestFit="1" customWidth="1"/>
    <col min="14" max="14" style="2" width="5.81640625" bestFit="1" customWidth="1"/>
    <col min="15" max="15" style="1" width="3.26953125" bestFit="1" customWidth="1"/>
    <col min="16" max="16" style="1" width="4.453125" bestFit="1" customWidth="1"/>
    <col min="17" max="17" style="1" width="10" bestFit="1" customWidth="1"/>
    <col min="18" max="18" style="1" width="21.453125" bestFit="1" customWidth="1"/>
    <col min="19" max="16384" style="1" width="12.816406249999998" bestFit="1" customWidth="1"/>
  </cols>
  <sheetData>
    <row r="1" spans="1:16384">
      <c r="A1" s="3" t="s">
        <v>0</v>
      </c>
      <c r="B1" s="3" t="s">
        <v>1</v>
      </c>
      <c r="C1" s="3" t="s">
        <v>2</v>
      </c>
      <c r="D1" s="3" t="inlineStr">
        <is>
          <t>firmentyp</t>
        </is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7</v>
      </c>
      <c r="N1" s="4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6384">
      <c r="B2">
        <v>1</v>
      </c>
      <c r="C2" t="s">
        <v>13</v>
      </c>
      <c r="D2" s="5" t="s">
        <v>14</v>
      </c>
      <c r="E2" s="6" t="inlineStr">
        <is>
          <t>www.josef-oebermeier.de</t>
        </is>
      </c>
      <c r="F2" s="7" t="inlineStr">
        <is>
          <t>gf@josef-oebermeier.de</t>
        </is>
      </c>
      <c r="G2" s="8" t="inlineStr">
        <is>
          <t>+491702934</t>
        </is>
      </c>
      <c r="H2" s="9" t="s">
        <v>15</v>
      </c>
      <c r="I2" t="s">
        <v>16</v>
      </c>
      <c r="J2" s="10">
        <v>57610</v>
      </c>
      <c r="K2" t="s">
        <v>17</v>
      </c>
      <c r="L2" s="11" t="s">
        <v>18</v>
      </c>
      <c r="N2" s="10"/>
      <c r="Q2" s="12" t="s">
        <v>19</v>
      </c>
      <c r="R2" t="inlineStr">
        <is>
          <t>Toller Kunde - kauft alles</t>
        </is>
      </c>
    </row>
    <row r="3" spans="1:16384">
      <c r="B3">
        <v>2</v>
      </c>
      <c r="C3" t="inlineStr">
        <is>
          <t>Daniel Winter</t>
        </is>
      </c>
      <c r="D3" s="5" t="s">
        <v>20</v>
      </c>
      <c r="E3" s="13" t="inlineStr">
        <is>
          <t>www.winter.de</t>
        </is>
      </c>
      <c r="F3" s="14" t="inlineStr">
        <is>
          <t>info@winter.de</t>
        </is>
      </c>
      <c r="G3" s="8" t="inlineStr">
        <is>
          <t>+496086755</t>
        </is>
      </c>
      <c r="H3" s="9" t="s">
        <v>21</v>
      </c>
      <c r="I3" t="inlineStr">
        <is>
          <t>Leonrodstrasse 69</t>
        </is>
      </c>
      <c r="J3" s="10">
        <v>80636</v>
      </c>
      <c r="K3" t="s">
        <v>22</v>
      </c>
      <c r="L3" s="11" t="s">
        <v>18</v>
      </c>
      <c r="N3" s="10"/>
      <c r="Q3" s="12" t="s">
        <v>23</v>
      </c>
      <c r="R3" t="inlineStr">
        <is>
          <t>Will immer Bestpreise</t>
        </is>
      </c>
    </row>
    <row r="4" spans="1:16384">
      <c r="B4">
        <v>3</v>
      </c>
      <c r="C4" t="s">
        <v>24</v>
      </c>
      <c r="D4" s="5" t="s">
        <v>14</v>
      </c>
      <c r="E4" s="15" t="inlineStr">
        <is>
          <t>www.helbig.com</t>
        </is>
      </c>
      <c r="F4" s="16" t="inlineStr">
        <is>
          <t>info@helbig.com</t>
        </is>
      </c>
      <c r="G4" s="8" t="inlineStr">
        <is>
          <t>+496086756</t>
        </is>
      </c>
      <c r="H4" s="9" t="s">
        <v>21</v>
      </c>
      <c r="I4" t="s">
        <v>25</v>
      </c>
      <c r="J4" s="10">
        <v>80636</v>
      </c>
      <c r="K4" t="s">
        <v>22</v>
      </c>
      <c r="L4" s="11" t="s">
        <v>18</v>
      </c>
      <c r="N4" s="10"/>
      <c r="Q4" s="12" t="s">
        <v>26</v>
      </c>
      <c r="R4" t="inlineStr">
        <is>
          <t>Sehr sparsam</t>
        </is>
      </c>
    </row>
    <row r="5" spans="1:16384">
      <c r="A5" t="s">
        <v>27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dataValidations count="5">
    <dataValidation type="list" allowBlank="1" showDropDown="0" showInputMessage="1" showErrorMessage="1" sqref="D2:D4">
      <formula1>Werte!$A$2:$A$7</formula1>
    </dataValidation>
    <dataValidation type="list" allowBlank="1" showDropDown="0" showInputMessage="1" showErrorMessage="1" sqref="H2:H4">
      <formula1>Werte!$B$2:$B$9</formula1>
    </dataValidation>
    <dataValidation type="custom" allowBlank="1" showDropDown="0" showInputMessage="1" showErrorMessage="1" sqref="J2:J4 N2:N4">
      <formula1>AND(LEN(F2)=5,ISNUMBER(VALUE(F2)))</formula1>
    </dataValidation>
    <dataValidation type="list" allowBlank="1" showDropDown="0" showInputMessage="1" showErrorMessage="1" sqref="L2:L4">
      <formula1>Werte!$D$2:$D$5</formula1>
    </dataValidation>
    <dataValidation type="list" allowBlank="1" showDropDown="0" showInputMessage="1" showErrorMessage="1" sqref="Q2:Q4">
      <formula1>Werte!$C$2:$C$11</formula1>
    </dataValidation>
  </dataValidations>
  <hyperlinks>
    <hyperlink ref="E2" r:id="rId1"/>
    <hyperlink ref="F2" r:id="rId2"/>
    <hyperlink ref="E3" r:id="rId3"/>
    <hyperlink ref="F3" r:id="rId4"/>
    <hyperlink ref="E4" r:id="rId5"/>
    <hyperlink ref="F4" r:id="rId6"/>
  </hyperlinks>
  <printOptions/>
  <pageMargins left="0.7" right="0.7" top="0.787401575" bottom="0.7874015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4"/>
  <sheetViews>
    <sheetView workbookViewId="0" tabSelected="1">
      <selection activeCell="C3" sqref="C3"/>
    </sheetView>
  </sheetViews>
  <sheetFormatPr defaultColWidth="12.81640625" defaultRowHeight="14.5"/>
  <cols>
    <col min="1" max="2" style="1" width="12.816406249999998" bestFit="1" customWidth="1"/>
    <col min="3" max="3" style="1" width="20.26953125" bestFit="1" customWidth="1"/>
    <col min="4" max="7" style="1" width="12.816406249999998" bestFit="1" customWidth="1"/>
    <col min="8" max="8" style="1" width="13.81640625" bestFit="1" customWidth="1"/>
    <col min="9" max="9" style="1" width="20.453125" bestFit="1" customWidth="1"/>
    <col min="10" max="10" style="1" width="15.453124999999998" bestFit="1" customWidth="1"/>
    <col min="11" max="13" style="1" width="12.816406249999998" bestFit="1" customWidth="1"/>
    <col min="14" max="14" style="1" width="23.7265625" bestFit="1" customWidth="1"/>
    <col min="15" max="16384" style="1" width="12.816406249999998" bestFit="1" customWidth="1"/>
  </cols>
  <sheetData>
    <row r="1" spans="1:16384">
      <c r="A1" s="3" t="s">
        <v>0</v>
      </c>
      <c r="B1" s="3" t="s">
        <v>1</v>
      </c>
      <c r="C1" s="3" t="inlineStr">
        <is>
          <t>firma</t>
        </is>
      </c>
      <c r="D1" s="3" t="s">
        <v>28</v>
      </c>
      <c r="E1" s="3" t="s">
        <v>29</v>
      </c>
      <c r="F1" s="3" t="s">
        <v>30</v>
      </c>
      <c r="G1" s="3" t="s">
        <v>4</v>
      </c>
      <c r="H1" s="4" t="s">
        <v>5</v>
      </c>
      <c r="I1" s="3" t="s">
        <v>6</v>
      </c>
      <c r="J1" s="3" t="s">
        <v>7</v>
      </c>
      <c r="K1" s="4" t="s">
        <v>8</v>
      </c>
      <c r="L1" s="3" t="s">
        <v>9</v>
      </c>
      <c r="M1" s="3" t="s">
        <v>10</v>
      </c>
      <c r="N1" s="3" t="s">
        <v>12</v>
      </c>
    </row>
    <row r="2" spans="1:16384">
      <c r="B2">
        <f>Firmen!B2</f>
        <v>1</v>
      </c>
      <c r="C2" t="s">
        <f>VLOOKUP(B2,Firmen!B:C,2)</f>
        <v>13</v>
      </c>
      <c r="D2" s="17" t="s">
        <v>31</v>
      </c>
      <c r="E2" t="s">
        <v>32</v>
      </c>
      <c r="F2" t="inlineStr">
        <is>
          <t>Malkowski</t>
        </is>
      </c>
      <c r="G2" s="18" t="inlineStr">
        <is>
          <t>jm@josef-oebermeier.de</t>
        </is>
      </c>
      <c r="H2" s="8" t="s">
        <v>33</v>
      </c>
      <c r="I2" s="19" t="s">
        <v>15</v>
      </c>
      <c r="J2" t="s">
        <v>16</v>
      </c>
      <c r="K2" s="20">
        <v>57610</v>
      </c>
      <c r="L2" t="s">
        <v>17</v>
      </c>
      <c r="M2" s="21" t="s">
        <v>18</v>
      </c>
      <c r="N2" t="inlineStr">
        <is>
          <t>Toller Kontakt - nimmt alles</t>
        </is>
      </c>
    </row>
    <row r="3" spans="1:16384" ht="16.5">
      <c r="B3">
        <f>Firmen!B4</f>
        <v>3</v>
      </c>
      <c r="C3" t="s">
        <f>VLOOKUP(B3,Firmen!B:C,2)</f>
        <v>24</v>
      </c>
      <c r="D3" s="17" t="s">
        <v>31</v>
      </c>
      <c r="E3" t="inlineStr">
        <is>
          <t>Walter</t>
        </is>
      </c>
      <c r="F3" t="inlineStr">
        <is>
          <t>Streb</t>
        </is>
      </c>
      <c r="G3" s="22" t="inlineStr">
        <is>
          <t>ws@helbig.com</t>
        </is>
      </c>
      <c r="H3" s="8" t="s">
        <v>33</v>
      </c>
      <c r="I3" s="19" t="s">
        <v>15</v>
      </c>
      <c r="J3" t="s">
        <v>25</v>
      </c>
      <c r="K3" s="20">
        <v>80636</v>
      </c>
      <c r="L3" t="s">
        <v>22</v>
      </c>
      <c r="M3" s="21" t="s">
        <v>18</v>
      </c>
      <c r="N3" t="inlineStr">
        <is>
          <t>Humorvoll</t>
        </is>
      </c>
    </row>
    <row r="4" spans="1:16384">
      <c r="A4" t="s">
        <v>27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dataValidations count="4">
    <dataValidation type="list" allowBlank="1" showDropDown="0" showInputMessage="1" showErrorMessage="1" sqref="D2:D3">
      <formula1>Werte!$F$2:$F$6</formula1>
    </dataValidation>
    <dataValidation type="list" allowBlank="1" showDropDown="0" showInputMessage="1" showErrorMessage="1" sqref="I2:I3">
      <formula1>Werte!$B$2:$B$9</formula1>
    </dataValidation>
    <dataValidation type="custom" allowBlank="1" showDropDown="0" showInputMessage="1" showErrorMessage="1" sqref="K2:K3">
      <formula1>AND(LEN(K2)=5,ISNUMBER(VALUE(K2)))</formula1>
    </dataValidation>
    <dataValidation type="list" allowBlank="1" showDropDown="0" showInputMessage="1" showErrorMessage="1" sqref="M2:M3">
      <formula1>Werte!$D$2:$D$5</formula1>
    </dataValidation>
  </dataValidations>
  <hyperlinks>
    <hyperlink ref="G2" r:id="rId1"/>
    <hyperlink ref="G3" r:id="rId2"/>
  </hyperlinks>
  <printOptions/>
  <pageMargins left="0.7" right="0.7" top="0.787401575" bottom="0.7874015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"/>
  <sheetViews>
    <sheetView workbookViewId="0">
      <selection activeCell="A2" sqref="A2"/>
    </sheetView>
  </sheetViews>
  <sheetFormatPr defaultColWidth="12.81640625" defaultRowHeight="14.5"/>
  <cols>
    <col min="1" max="1" style="1" width="9.54296875" bestFit="1" customWidth="1"/>
    <col min="2" max="2" style="1" width="12.816406249999998" bestFit="1" customWidth="1"/>
    <col min="3" max="3" style="1" width="12.26953125" bestFit="1" customWidth="1"/>
    <col min="4" max="4" style="1" width="6.7265625" bestFit="1" customWidth="1"/>
    <col min="5" max="5" style="1" width="8.453125" bestFit="1" customWidth="1"/>
    <col min="6" max="6" style="1" width="9.7265625" bestFit="1" customWidth="1"/>
    <col min="7" max="7" style="1" width="10.7265625" bestFit="1" customWidth="1"/>
    <col min="8" max="8" style="1" width="13.81640625" bestFit="1" customWidth="1"/>
    <col min="9" max="9" style="1" width="20.453125" bestFit="1" customWidth="1"/>
    <col min="10" max="10" style="1" width="12.1796875" bestFit="1" customWidth="1"/>
    <col min="11" max="11" style="23" width="12.453125" customWidth="1"/>
    <col min="12" max="12" style="1" width="8.7265625" bestFit="1" customWidth="1"/>
    <col min="13" max="13" style="1" width="11.1796875" bestFit="1" customWidth="1"/>
    <col min="14" max="14" style="1" width="10" bestFit="1" customWidth="1"/>
    <col min="15" max="15" style="1" width="17.81640625" bestFit="1" customWidth="1"/>
    <col min="16" max="16384" style="1" width="12.816406249999998" bestFit="1" customWidth="1"/>
  </cols>
  <sheetData>
    <row r="1" spans="1:16384">
      <c r="A1" s="3" t="s">
        <v>0</v>
      </c>
      <c r="B1" s="3" t="s">
        <v>2</v>
      </c>
      <c r="C1" s="3" t="s">
        <v>3</v>
      </c>
      <c r="D1" s="3" t="s">
        <v>28</v>
      </c>
      <c r="E1" s="3" t="s">
        <v>29</v>
      </c>
      <c r="F1" s="3" t="s">
        <v>30</v>
      </c>
      <c r="G1" s="3" t="s">
        <v>4</v>
      </c>
      <c r="H1" s="4" t="s">
        <v>5</v>
      </c>
      <c r="I1" s="3" t="s">
        <v>6</v>
      </c>
      <c r="J1" s="3" t="s">
        <v>7</v>
      </c>
      <c r="K1" s="24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6384">
      <c r="B2" t="inlineStr">
        <is>
          <t>Malzwerke AG</t>
        </is>
      </c>
      <c r="C2" s="25" t="inlineStr">
        <is>
          <t>www.malz.de</t>
        </is>
      </c>
      <c r="D2" s="26" t="s">
        <v>31</v>
      </c>
      <c r="E2" t="s">
        <v>32</v>
      </c>
      <c r="F2" t="inlineStr">
        <is>
          <t>Burlow</t>
        </is>
      </c>
      <c r="G2" s="27" t="inlineStr">
        <is>
          <t>jb@malz.de</t>
        </is>
      </c>
      <c r="H2" s="8" t="s">
        <v>33</v>
      </c>
      <c r="I2" s="28" t="s">
        <v>15</v>
      </c>
      <c r="J2" t="inlineStr">
        <is>
          <t>Malzstrasse 9</t>
        </is>
      </c>
      <c r="K2" s="29" t="inlineStr">
        <is>
          <t>80663</t>
        </is>
      </c>
      <c r="L2" t="s">
        <v>22</v>
      </c>
      <c r="M2" s="30" t="s">
        <v>18</v>
      </c>
      <c r="N2" s="31" t="s">
        <v>23</v>
      </c>
      <c r="O2" t="inlineStr">
        <is>
          <t>Mag Gummibärchen</t>
        </is>
      </c>
    </row>
    <row r="3" spans="1:16384">
      <c r="A3" t="s">
        <v>27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dataValidations count="5">
    <dataValidation type="list" allowBlank="1" showDropDown="0" showInputMessage="1" showErrorMessage="1" sqref="D2">
      <formula1>Werte!$F$2:$F$6</formula1>
    </dataValidation>
    <dataValidation type="list" allowBlank="1" showDropDown="0" showInputMessage="1" showErrorMessage="1" sqref="I2">
      <formula1>Werte!$B$2:$B$9</formula1>
    </dataValidation>
    <dataValidation type="custom" allowBlank="1" showDropDown="0" showInputMessage="1" showErrorMessage="1" sqref="K2">
      <formula1>AND(LEN(K2)=5,ISNUMBER(VALUE(K2)))</formula1>
    </dataValidation>
    <dataValidation type="list" allowBlank="1" showDropDown="0" showInputMessage="1" showErrorMessage="1" sqref="M2">
      <formula1>Werte!$D$2:$D$5</formula1>
    </dataValidation>
    <dataValidation type="list" allowBlank="1" showDropDown="0" showInputMessage="1" showErrorMessage="1" sqref="N2">
      <formula1>Werte!$C$2:$C$11</formula1>
    </dataValidation>
  </dataValidations>
  <hyperlinks>
    <hyperlink ref="C2" r:id="rId1"/>
    <hyperlink ref="G2" r:id="rId2"/>
  </hyperlinks>
  <printOptions/>
  <pageMargins left="0.7" right="0.7" top="0.787401575" bottom="0.7874015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1"/>
  <sheetViews>
    <sheetView workbookViewId="0">
      <selection activeCell="C6" sqref="C6"/>
    </sheetView>
  </sheetViews>
  <sheetFormatPr defaultColWidth="12.81640625" defaultRowHeight="14.5"/>
  <cols>
    <col min="1" max="1" style="1" width="14.453125000000002" bestFit="1" customWidth="1"/>
    <col min="2" max="2" style="1" width="27.726562499999996" bestFit="1" customWidth="1"/>
    <col min="3" max="3" style="1" width="13.1796875" bestFit="1" customWidth="1"/>
    <col min="4" max="4" style="1" width="11.1796875" bestFit="1" customWidth="1"/>
    <col min="5" max="5" style="1" width="29.453124999999996" bestFit="1" customWidth="1"/>
    <col min="6" max="16384" style="1" width="12.816406249999998" bestFit="1" customWidth="1"/>
  </cols>
  <sheetData>
    <row r="1" spans="1:16384">
      <c r="A1" s="3" t="inlineStr">
        <is>
          <t>Firmentyp</t>
        </is>
      </c>
      <c r="B1" s="3" t="inlineStr">
        <is>
          <t>Typ der Telefonnummer (Firma)</t>
        </is>
      </c>
      <c r="C1" s="3" t="inlineStr">
        <is>
          <t>Industrie</t>
        </is>
      </c>
      <c r="D1" s="3" t="inlineStr">
        <is>
          <t>Staaten</t>
        </is>
      </c>
      <c r="E1" s="3" t="inlineStr">
        <is>
          <t>Typ der Telefonnummer (Kontakt)</t>
        </is>
      </c>
      <c r="F1" s="3" t="inlineStr">
        <is>
          <t>Anrede</t>
        </is>
      </c>
    </row>
    <row r="2" spans="1:16384">
      <c r="A2" t="inlineStr">
        <is>
          <t>Customer</t>
        </is>
      </c>
      <c r="B2" t="s">
        <v>34</v>
      </c>
      <c r="C2" t="inlineStr">
        <is>
          <t>Consulting</t>
        </is>
      </c>
      <c r="D2" t="s">
        <v>18</v>
      </c>
      <c r="E2" t="s">
        <v>34</v>
      </c>
      <c r="F2" t="inlineStr">
        <is>
          <t>Mr.</t>
        </is>
      </c>
    </row>
    <row r="3" spans="1:16384">
      <c r="A3" t="inlineStr">
        <is>
          <t>Investor</t>
        </is>
      </c>
      <c r="B3" t="s">
        <v>35</v>
      </c>
      <c r="C3" t="s">
        <v>19</v>
      </c>
      <c r="D3" t="inlineStr">
        <is>
          <t>Österreich</t>
        </is>
      </c>
      <c r="E3" t="s">
        <v>35</v>
      </c>
      <c r="F3" t="inlineStr">
        <is>
          <t>Ms</t>
        </is>
      </c>
    </row>
    <row r="4" spans="1:16384">
      <c r="A4" t="inlineStr">
        <is>
          <t>Partner</t>
        </is>
      </c>
      <c r="B4" t="s">
        <v>36</v>
      </c>
      <c r="C4" t="inlineStr">
        <is>
          <t>Manufacturing</t>
        </is>
      </c>
      <c r="D4" t="inlineStr">
        <is>
          <t>Schweiz</t>
        </is>
      </c>
      <c r="E4" t="s">
        <v>36</v>
      </c>
      <c r="F4" t="inlineStr">
        <is>
          <t>Mrs.</t>
        </is>
      </c>
    </row>
    <row r="5" spans="1:16384">
      <c r="A5" t="inlineStr">
        <is>
          <t>Reseller</t>
        </is>
      </c>
      <c r="B5" t="s">
        <v>37</v>
      </c>
      <c r="C5" t="inlineStr">
        <is>
          <t>Retail</t>
        </is>
      </c>
      <c r="D5" t="inlineStr">
        <is>
          <t>Frankreich</t>
        </is>
      </c>
      <c r="E5" t="inlineStr">
        <is>
          <t>Home</t>
        </is>
      </c>
      <c r="F5" t="s">
        <v>31</v>
      </c>
    </row>
    <row r="6" spans="1:16384">
      <c r="A6" t="s">
        <v>14</v>
      </c>
      <c r="B6" t="s">
        <v>21</v>
      </c>
      <c r="C6" t="s">
        <v>26</v>
      </c>
      <c r="E6" t="s">
        <v>37</v>
      </c>
      <c r="F6" t="inlineStr">
        <is>
          <t>Frau</t>
        </is>
      </c>
    </row>
    <row r="7" spans="1:16384">
      <c r="A7" t="s">
        <v>20</v>
      </c>
      <c r="B7" t="s">
        <v>15</v>
      </c>
      <c r="C7" t="inlineStr">
        <is>
          <t>Beratung</t>
        </is>
      </c>
      <c r="E7" t="inlineStr">
        <is>
          <t>Büro</t>
        </is>
      </c>
    </row>
    <row r="8" spans="1:16384">
      <c r="B8" t="s">
        <v>36</v>
      </c>
      <c r="C8" t="s">
        <v>19</v>
      </c>
      <c r="E8" t="s">
        <v>15</v>
      </c>
    </row>
    <row r="9" spans="1:16384">
      <c r="B9" t="s">
        <v>38</v>
      </c>
      <c r="C9" t="inlineStr">
        <is>
          <t>Fertigung</t>
        </is>
      </c>
      <c r="E9" t="s">
        <v>36</v>
      </c>
    </row>
    <row r="10" spans="1:16384">
      <c r="C10" t="inlineStr">
        <is>
          <t>Handel</t>
        </is>
      </c>
      <c r="E10" t="inlineStr">
        <is>
          <t>Privat</t>
        </is>
      </c>
    </row>
    <row r="11" spans="1:16384">
      <c r="C11" t="s">
        <v>23</v>
      </c>
      <c r="E11" t="s">
        <v>38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87401575" bottom="0.7874015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Company/>
  <LinksUpToDate>0</LinksUpToDate>
  <ScaleCrop>0</ScaleCrop>
  <DocSecurity>0</DocSecurity>
  <TotalTime>0</TotalTime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Ralf Scholler</cp:lastModifiedBy>
  <dcterms:modified xsi:type="dcterms:W3CDTF">2026-02-15T09:38:12Z</dcterms:modified>
  <dcterms:created xsi:type="dcterms:W3CDTF">2025-10-12T10:19:21Z</dcterms:created>
  <dc:creator>Ralf Scholler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